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Comisiones" sheetId="2" r:id="rId5"/>
    <sheet state="hidden" name="Resumen Mensual" sheetId="3" r:id="rId6"/>
  </sheets>
  <definedNames>
    <definedName hidden="1" localSheetId="0" name="_xlnm._FilterDatabase">Ventas!$A$1:$S$1018</definedName>
    <definedName hidden="1" localSheetId="0" name="Z_BB8AF3B0_536D_4F42_931F_70A1BB6BB96E_.wvu.FilterData">Ventas!$F$1:$F$1018</definedName>
  </definedNames>
  <calcPr/>
  <customWorkbookViews>
    <customWorkbookView activeSheetId="0" maximized="1" windowHeight="0" windowWidth="0" guid="{BB8AF3B0-536D-4F42-931F-70A1BB6BB96E}" name="Filtro 1"/>
  </customWorkbookViews>
  <extLst>
    <ext uri="GoogleSheetsCustomDataVersion2">
      <go:sheetsCustomData xmlns:go="http://customooxmlschemas.google.com/" r:id="rId7" roundtripDataChecksum="D0xZ3kf/NoDbqXriGyPLHVu3ybLGQi8U5HbuktR6mpo="/>
    </ext>
  </extLst>
</workbook>
</file>

<file path=xl/sharedStrings.xml><?xml version="1.0" encoding="utf-8"?>
<sst xmlns="http://schemas.openxmlformats.org/spreadsheetml/2006/main" count="219" uniqueCount="109">
  <si>
    <t>Cliente</t>
  </si>
  <si>
    <t>Auto</t>
  </si>
  <si>
    <t>Seña</t>
  </si>
  <si>
    <t>Valor de Venta</t>
  </si>
  <si>
    <t>Día Recepción Auto</t>
  </si>
  <si>
    <t>Día Entrega</t>
  </si>
  <si>
    <t>Película</t>
  </si>
  <si>
    <t>Tonalidad</t>
  </si>
  <si>
    <t>Forma de Pago</t>
  </si>
  <si>
    <t>Estado del Pago</t>
  </si>
  <si>
    <t>Estado de Entrega</t>
  </si>
  <si>
    <t>Observaciones</t>
  </si>
  <si>
    <t>Fecha de Venta</t>
  </si>
  <si>
    <t>Origen</t>
  </si>
  <si>
    <t>Antonio</t>
  </si>
  <si>
    <t>ANTONIO</t>
  </si>
  <si>
    <t>JAGUAR</t>
  </si>
  <si>
    <t>INCLUIDA</t>
  </si>
  <si>
    <t>DEFINIR</t>
  </si>
  <si>
    <t>PIX 6 PARCELAS</t>
  </si>
  <si>
    <t>PENDIENTE</t>
  </si>
  <si>
    <t>DEFENDER</t>
  </si>
  <si>
    <t>shopping</t>
  </si>
  <si>
    <t xml:space="preserve">outlander </t>
  </si>
  <si>
    <t>PIX 8 PARCELAS</t>
  </si>
  <si>
    <t>Carlos Pérez</t>
  </si>
  <si>
    <t>ALEX</t>
  </si>
  <si>
    <t>HAVAL H6 GT</t>
  </si>
  <si>
    <t>INC</t>
  </si>
  <si>
    <t>DEFENIR</t>
  </si>
  <si>
    <t xml:space="preserve">PIX </t>
  </si>
  <si>
    <t>IRON GLAS PLUSS</t>
  </si>
  <si>
    <t>REFERENCIA</t>
  </si>
  <si>
    <t>EMERSON</t>
  </si>
  <si>
    <t>VOLVO V40</t>
  </si>
  <si>
    <t>10900-</t>
  </si>
  <si>
    <t>REDES</t>
  </si>
  <si>
    <t>JOAO</t>
  </si>
  <si>
    <t>BMW 320I</t>
  </si>
  <si>
    <t>25000-</t>
  </si>
  <si>
    <t>PIX</t>
  </si>
  <si>
    <t>MARCELO</t>
  </si>
  <si>
    <t>VOLVO EX30</t>
  </si>
  <si>
    <t>6 PARCELAS</t>
  </si>
  <si>
    <t>BMW X1</t>
  </si>
  <si>
    <t>FABIO PATRUS</t>
  </si>
  <si>
    <t>KIA NIRO</t>
  </si>
  <si>
    <t>IRON</t>
  </si>
  <si>
    <t>22-01-</t>
  </si>
  <si>
    <t>Alex</t>
  </si>
  <si>
    <t>RAMpeage 25</t>
  </si>
  <si>
    <t xml:space="preserve">Incluido </t>
  </si>
  <si>
    <t xml:space="preserve">DEFINIR </t>
  </si>
  <si>
    <t xml:space="preserve">PENDIENTE </t>
  </si>
  <si>
    <t xml:space="preserve">DEFENDER </t>
  </si>
  <si>
    <t>carlos taxi</t>
  </si>
  <si>
    <t>commander</t>
  </si>
  <si>
    <t>PLUSS</t>
  </si>
  <si>
    <t>SERGIO</t>
  </si>
  <si>
    <t>OMODA 5</t>
  </si>
  <si>
    <t>PAGP</t>
  </si>
  <si>
    <t>PAGO FINALIZADO</t>
  </si>
  <si>
    <t xml:space="preserve">LUCAS </t>
  </si>
  <si>
    <t xml:space="preserve">RAV4 </t>
  </si>
  <si>
    <t>jose  roberto marquez</t>
  </si>
  <si>
    <t>tiggo 5 25</t>
  </si>
  <si>
    <t>referencia</t>
  </si>
  <si>
    <t xml:space="preserve">Renilson </t>
  </si>
  <si>
    <t>byd</t>
  </si>
  <si>
    <t>incluida</t>
  </si>
  <si>
    <t>pendiente</t>
  </si>
  <si>
    <t>defender</t>
  </si>
  <si>
    <t>shoping</t>
  </si>
  <si>
    <t>Fabio Faccio</t>
  </si>
  <si>
    <t>OscarSILVI</t>
  </si>
  <si>
    <t>Renato</t>
  </si>
  <si>
    <t>Victor</t>
  </si>
  <si>
    <t>PABLO</t>
  </si>
  <si>
    <t>RANGER 26</t>
  </si>
  <si>
    <t>20000-</t>
  </si>
  <si>
    <t>-</t>
  </si>
  <si>
    <t>DEFENDE</t>
  </si>
  <si>
    <t>victor</t>
  </si>
  <si>
    <t>CORSA</t>
  </si>
  <si>
    <t>WILY</t>
  </si>
  <si>
    <t>HB20</t>
  </si>
  <si>
    <t>CLAUCIO</t>
  </si>
  <si>
    <t>COMPASS</t>
  </si>
  <si>
    <t>FINALIZADO</t>
  </si>
  <si>
    <t>ASDA</t>
  </si>
  <si>
    <t>seña pendiente</t>
  </si>
  <si>
    <t>seña confirmada</t>
  </si>
  <si>
    <t>a confirmar</t>
  </si>
  <si>
    <t>Vendedor</t>
  </si>
  <si>
    <t>Total Vendido</t>
  </si>
  <si>
    <t>% Comisión Vendedor</t>
  </si>
  <si>
    <t>Comisión Vendedor</t>
  </si>
  <si>
    <t>% Comisión CARLOS</t>
  </si>
  <si>
    <t>COMISION CARLOS</t>
  </si>
  <si>
    <t>descuentos</t>
  </si>
  <si>
    <t>total a pagar</t>
  </si>
  <si>
    <t xml:space="preserve"> </t>
  </si>
  <si>
    <t>NICOLANGELO</t>
  </si>
  <si>
    <t>Carlos Vende</t>
  </si>
  <si>
    <t>carlos perez</t>
  </si>
  <si>
    <t>6%</t>
  </si>
  <si>
    <t>TOTAL VENDIDO R$</t>
  </si>
  <si>
    <t>Resumen mensual de ventas</t>
  </si>
  <si>
    <t>Aquí puedes insertar una tabla dinámica y gráficos.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</si>
</sst>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"/>
    <numFmt numFmtId="165" formatCode="dd-mm"/>
    <numFmt numFmtId="166" formatCode="d/m"/>
    <numFmt numFmtId="167" formatCode="d/m/yy"/>
    <numFmt numFmtId="168" formatCode="dd-mm-yy"/>
    <numFmt numFmtId="169" formatCode="d-m"/>
    <numFmt numFmtId="170" formatCode="d-m-yy"/>
    <numFmt numFmtId="171" formatCode="dd/mm/yy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rgb="FF434343"/>
      <name val="Calibri"/>
    </font>
    <font>
      <sz val="11.0"/>
      <color theme="1"/>
      <name val="Calibri"/>
    </font>
    <font>
      <sz val="11.0"/>
      <color rgb="FF000000"/>
      <name val="Calibri"/>
    </font>
    <font>
      <color rgb="FF434343"/>
      <name val="Calibri"/>
    </font>
    <font>
      <color rgb="FFEFEFEF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  <fill>
      <patternFill patternType="solid">
        <fgColor rgb="FFDBE5F1"/>
        <bgColor rgb="FFDBE5F1"/>
      </patternFill>
    </fill>
    <fill>
      <patternFill patternType="solid">
        <fgColor rgb="FF00FF00"/>
        <bgColor rgb="FF00FF00"/>
      </patternFill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2" numFmtId="0" xfId="0" applyFill="1" applyFont="1"/>
    <xf borderId="0" fillId="5" fontId="3" numFmtId="0" xfId="0" applyAlignment="1" applyFill="1" applyFont="1">
      <alignment readingOrder="0" vertical="bottom"/>
    </xf>
    <xf borderId="0" fillId="5" fontId="3" numFmtId="164" xfId="0" applyAlignment="1" applyFont="1" applyNumberFormat="1">
      <alignment horizontal="right" readingOrder="0" vertical="bottom"/>
    </xf>
    <xf borderId="0" fillId="5" fontId="4" numFmtId="165" xfId="0" applyAlignment="1" applyFont="1" applyNumberFormat="1">
      <alignment vertical="bottom"/>
    </xf>
    <xf borderId="0" fillId="6" fontId="2" numFmtId="0" xfId="0" applyFill="1" applyFont="1"/>
    <xf borderId="0" fillId="5" fontId="5" numFmtId="0" xfId="0" applyAlignment="1" applyFont="1">
      <alignment readingOrder="0" vertical="bottom"/>
    </xf>
    <xf borderId="0" fillId="5" fontId="5" numFmtId="0" xfId="0" applyAlignment="1" applyFont="1">
      <alignment horizontal="right" readingOrder="0" vertical="bottom"/>
    </xf>
    <xf borderId="0" fillId="5" fontId="5" numFmtId="164" xfId="0" applyAlignment="1" applyFont="1" applyNumberFormat="1">
      <alignment horizontal="right" readingOrder="0" vertical="bottom"/>
    </xf>
    <xf borderId="0" fillId="5" fontId="5" numFmtId="165" xfId="0" applyAlignment="1" applyFont="1" applyNumberFormat="1">
      <alignment horizontal="right" vertical="bottom"/>
    </xf>
    <xf borderId="0" fillId="5" fontId="5" numFmtId="165" xfId="0" applyAlignment="1" applyFont="1" applyNumberFormat="1">
      <alignment horizontal="right" readingOrder="0" vertical="bottom"/>
    </xf>
    <xf borderId="0" fillId="7" fontId="3" numFmtId="0" xfId="0" applyAlignment="1" applyFill="1" applyFont="1">
      <alignment vertical="bottom"/>
    </xf>
    <xf borderId="0" fillId="7" fontId="3" numFmtId="0" xfId="0" applyAlignment="1" applyFont="1">
      <alignment horizontal="right" vertical="bottom"/>
    </xf>
    <xf borderId="0" fillId="7" fontId="3" numFmtId="0" xfId="0" applyAlignment="1" applyFont="1">
      <alignment readingOrder="0" vertical="bottom"/>
    </xf>
    <xf borderId="0" fillId="7" fontId="3" numFmtId="166" xfId="0" applyAlignment="1" applyFont="1" applyNumberFormat="1">
      <alignment horizontal="right" readingOrder="0" vertical="bottom"/>
    </xf>
    <xf borderId="0" fillId="7" fontId="3" numFmtId="164" xfId="0" applyAlignment="1" applyFont="1" applyNumberFormat="1">
      <alignment horizontal="right" readingOrder="0" vertical="bottom"/>
    </xf>
    <xf borderId="0" fillId="7" fontId="4" numFmtId="0" xfId="0" applyAlignment="1" applyFont="1">
      <alignment vertical="bottom"/>
    </xf>
    <xf borderId="0" fillId="7" fontId="3" numFmtId="167" xfId="0" applyAlignment="1" applyFont="1" applyNumberFormat="1">
      <alignment horizontal="right" vertical="bottom"/>
    </xf>
    <xf borderId="0" fillId="5" fontId="3" numFmtId="0" xfId="0" applyAlignment="1" applyFont="1">
      <alignment horizontal="right" readingOrder="0" vertical="bottom"/>
    </xf>
    <xf borderId="0" fillId="5" fontId="3" numFmtId="3" xfId="0" applyAlignment="1" applyFont="1" applyNumberFormat="1">
      <alignment readingOrder="0" vertical="bottom"/>
    </xf>
    <xf borderId="0" fillId="5" fontId="3" numFmtId="166" xfId="0" applyAlignment="1" applyFont="1" applyNumberFormat="1">
      <alignment horizontal="right" readingOrder="0" vertical="bottom"/>
    </xf>
    <xf borderId="0" fillId="5" fontId="3" numFmtId="168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0" fillId="5" fontId="3" numFmtId="166" xfId="0" applyAlignment="1" applyFont="1" applyNumberFormat="1">
      <alignment horizontal="right" vertical="bottom"/>
    </xf>
    <xf borderId="0" fillId="5" fontId="3" numFmtId="165" xfId="0" applyAlignment="1" applyFont="1" applyNumberFormat="1">
      <alignment vertical="bottom"/>
    </xf>
    <xf borderId="0" fillId="5" fontId="3" numFmtId="0" xfId="0" applyAlignment="1" applyFont="1">
      <alignment horizontal="right" vertical="bottom"/>
    </xf>
    <xf borderId="0" fillId="5" fontId="3" numFmtId="166" xfId="0" applyAlignment="1" applyFont="1" applyNumberFormat="1">
      <alignment readingOrder="0" vertical="bottom"/>
    </xf>
    <xf borderId="0" fillId="5" fontId="3" numFmtId="165" xfId="0" applyAlignment="1" applyFont="1" applyNumberFormat="1">
      <alignment readingOrder="0" vertical="bottom"/>
    </xf>
    <xf borderId="0" fillId="5" fontId="3" numFmtId="165" xfId="0" applyAlignment="1" applyFont="1" applyNumberFormat="1">
      <alignment horizontal="right" readingOrder="0" vertical="bottom"/>
    </xf>
    <xf borderId="0" fillId="5" fontId="3" numFmtId="164" xfId="0" applyAlignment="1" applyFont="1" applyNumberFormat="1">
      <alignment readingOrder="0" vertical="bottom"/>
    </xf>
    <xf borderId="0" fillId="5" fontId="4" numFmtId="0" xfId="0" applyAlignment="1" applyFont="1">
      <alignment readingOrder="0" vertical="bottom"/>
    </xf>
    <xf borderId="0" fillId="5" fontId="3" numFmtId="169" xfId="0" applyAlignment="1" applyFont="1" applyNumberFormat="1">
      <alignment horizontal="right" readingOrder="0" vertical="bottom"/>
    </xf>
    <xf borderId="0" fillId="5" fontId="4" numFmtId="165" xfId="0" applyAlignment="1" applyFont="1" applyNumberFormat="1">
      <alignment readingOrder="0" vertical="bottom"/>
    </xf>
    <xf borderId="0" fillId="5" fontId="6" numFmtId="0" xfId="0" applyAlignment="1" applyFont="1">
      <alignment readingOrder="0"/>
    </xf>
    <xf borderId="0" fillId="6" fontId="6" numFmtId="0" xfId="0" applyAlignment="1" applyFont="1">
      <alignment readingOrder="0"/>
    </xf>
    <xf borderId="0" fillId="6" fontId="6" numFmtId="3" xfId="0" applyAlignment="1" applyFont="1" applyNumberFormat="1">
      <alignment readingOrder="0"/>
    </xf>
    <xf borderId="0" fillId="6" fontId="6" numFmtId="164" xfId="0" applyAlignment="1" applyFont="1" applyNumberFormat="1">
      <alignment readingOrder="0"/>
    </xf>
    <xf borderId="0" fillId="6" fontId="6" numFmtId="0" xfId="0" applyFont="1"/>
    <xf borderId="0" fillId="5" fontId="6" numFmtId="0" xfId="0" applyFont="1"/>
    <xf borderId="0" fillId="5" fontId="6" numFmtId="165" xfId="0" applyFont="1" applyNumberFormat="1"/>
    <xf borderId="0" fillId="4" fontId="6" numFmtId="0" xfId="0" applyFont="1"/>
    <xf borderId="0" fillId="6" fontId="6" numFmtId="165" xfId="0" applyFont="1" applyNumberFormat="1"/>
    <xf borderId="0" fillId="5" fontId="6" numFmtId="168" xfId="0" applyFont="1" applyNumberFormat="1"/>
    <xf borderId="0" fillId="5" fontId="6" numFmtId="170" xfId="0" applyFont="1" applyNumberFormat="1"/>
    <xf borderId="0" fillId="5" fontId="6" numFmtId="168" xfId="0" applyAlignment="1" applyFont="1" applyNumberFormat="1">
      <alignment readingOrder="0"/>
    </xf>
    <xf borderId="0" fillId="5" fontId="6" numFmtId="171" xfId="0" applyAlignment="1" applyFont="1" applyNumberFormat="1">
      <alignment readingOrder="0"/>
    </xf>
    <xf borderId="0" fillId="5" fontId="6" numFmtId="164" xfId="0" applyAlignment="1" applyFont="1" applyNumberFormat="1">
      <alignment readingOrder="0"/>
    </xf>
    <xf borderId="0" fillId="7" fontId="6" numFmtId="0" xfId="0" applyFont="1"/>
    <xf borderId="0" fillId="7" fontId="6" numFmtId="0" xfId="0" applyAlignment="1" applyFont="1">
      <alignment readingOrder="0"/>
    </xf>
    <xf borderId="0" fillId="7" fontId="6" numFmtId="168" xfId="0" applyAlignment="1" applyFont="1" applyNumberFormat="1">
      <alignment readingOrder="0"/>
    </xf>
    <xf borderId="0" fillId="7" fontId="6" numFmtId="171" xfId="0" applyAlignment="1" applyFont="1" applyNumberFormat="1">
      <alignment readingOrder="0"/>
    </xf>
    <xf borderId="0" fillId="7" fontId="6" numFmtId="164" xfId="0" applyAlignment="1" applyFont="1" applyNumberFormat="1">
      <alignment readingOrder="0"/>
    </xf>
    <xf borderId="0" fillId="6" fontId="6" numFmtId="168" xfId="0" applyFont="1" applyNumberFormat="1"/>
    <xf borderId="0" fillId="4" fontId="6" numFmtId="168" xfId="0" applyFont="1" applyNumberFormat="1"/>
    <xf borderId="0" fillId="4" fontId="7" numFmtId="0" xfId="0" applyFont="1"/>
    <xf borderId="0" fillId="0" fontId="2" numFmtId="0" xfId="0" applyFont="1"/>
    <xf borderId="0" fillId="0" fontId="4" numFmtId="0" xfId="0" applyAlignment="1" applyFont="1">
      <alignment vertical="bottom"/>
    </xf>
    <xf borderId="0" fillId="8" fontId="4" numFmtId="0" xfId="0" applyAlignment="1" applyFill="1" applyFont="1">
      <alignment vertical="bottom"/>
    </xf>
    <xf borderId="0" fillId="5" fontId="4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9" fontId="1" numFmtId="0" xfId="0" applyAlignment="1" applyFill="1" applyFont="1">
      <alignment horizontal="center" vertical="bottom"/>
    </xf>
    <xf borderId="0" fillId="0" fontId="2" numFmtId="0" xfId="0" applyFont="1"/>
    <xf borderId="0" fillId="4" fontId="4" numFmtId="0" xfId="0" applyAlignment="1" applyFont="1">
      <alignment vertical="bottom"/>
    </xf>
    <xf borderId="0" fillId="6" fontId="4" numFmtId="9" xfId="0" applyAlignment="1" applyFont="1" applyNumberFormat="1">
      <alignment horizontal="right" vertical="bottom"/>
    </xf>
    <xf borderId="0" fillId="6" fontId="4" numFmtId="0" xfId="0" applyAlignment="1" applyFont="1">
      <alignment horizontal="right" vertical="bottom"/>
    </xf>
    <xf borderId="0" fillId="4" fontId="4" numFmtId="9" xfId="0" applyAlignment="1" applyFont="1" applyNumberFormat="1">
      <alignment horizontal="right" vertical="bottom"/>
    </xf>
    <xf borderId="0" fillId="4" fontId="4" numFmtId="0" xfId="0" applyAlignment="1" applyFont="1">
      <alignment horizontal="right" vertical="bottom"/>
    </xf>
    <xf borderId="0" fillId="10" fontId="4" numFmtId="9" xfId="0" applyAlignment="1" applyFill="1" applyFont="1" applyNumberFormat="1">
      <alignment horizontal="right" vertical="bottom"/>
    </xf>
    <xf borderId="0" fillId="7" fontId="2" numFmtId="0" xfId="0" applyFont="1"/>
    <xf borderId="0" fillId="8" fontId="2" numFmtId="0" xfId="0" applyFont="1"/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Comisiones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H10" displayName="Table_1" name="Table_1" id="1">
  <tableColumns count="8">
    <tableColumn totalsRowLabel="carlos perez" name="Vendedor" id="1"/>
    <tableColumn name="Total Vendido" id="2"/>
    <tableColumn name="% Comisión Vendedor" id="3"/>
    <tableColumn name="Comisión Vendedor" id="4"/>
    <tableColumn name="% Comisión CARLOS" id="5"/>
    <tableColumn totalsRowFunction="custom" name="COMISION CARLOS" id="6"/>
    <tableColumn totalsRowLabel="6%" name="descuentos" id="7"/>
    <tableColumn totalsRowFunction="custom" name="total a pagar" id="8"/>
  </tableColumns>
  <tableStyleInfo name="Comis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8.0"/>
    <col customWidth="1" min="4" max="4" width="12.86"/>
    <col customWidth="1" min="5" max="5" width="20.43"/>
    <col customWidth="1" min="6" max="6" width="18.0"/>
    <col customWidth="1" min="7" max="7" width="16.29"/>
    <col customWidth="1" min="8" max="12" width="18.0"/>
    <col customWidth="1" min="13" max="13" width="22.86"/>
    <col customWidth="1" min="14" max="14" width="18.0"/>
    <col customWidth="1" min="15" max="15" width="11.57"/>
    <col customWidth="1" min="16" max="26" width="9.14"/>
  </cols>
  <sheetData>
    <row r="1">
      <c r="A1" s="1">
        <v>14.0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>
      <c r="A2" s="3" t="s">
        <v>14</v>
      </c>
      <c r="B2" s="4" t="s">
        <v>15</v>
      </c>
      <c r="C2" s="4" t="s">
        <v>16</v>
      </c>
      <c r="D2" s="4">
        <v>200.0</v>
      </c>
      <c r="E2" s="4">
        <v>20000.0</v>
      </c>
      <c r="F2" s="5">
        <v>46086.0</v>
      </c>
      <c r="G2" s="6"/>
      <c r="H2" s="4" t="s">
        <v>17</v>
      </c>
      <c r="I2" s="4" t="s">
        <v>18</v>
      </c>
      <c r="J2" s="4" t="s">
        <v>19</v>
      </c>
      <c r="K2" s="4" t="s">
        <v>20</v>
      </c>
      <c r="L2" s="4" t="s">
        <v>20</v>
      </c>
      <c r="M2" s="4" t="s">
        <v>21</v>
      </c>
      <c r="N2" s="5">
        <v>46086.0</v>
      </c>
      <c r="O2" s="4" t="s">
        <v>22</v>
      </c>
    </row>
    <row r="3">
      <c r="A3" s="3" t="s">
        <v>14</v>
      </c>
      <c r="B3" s="4" t="s">
        <v>15</v>
      </c>
      <c r="C3" s="4" t="s">
        <v>23</v>
      </c>
      <c r="D3" s="4">
        <v>200.0</v>
      </c>
      <c r="E3" s="4">
        <v>12900.0</v>
      </c>
      <c r="F3" s="5">
        <v>46098.0</v>
      </c>
      <c r="G3" s="6"/>
      <c r="H3" s="4" t="s">
        <v>17</v>
      </c>
      <c r="I3" s="4" t="s">
        <v>18</v>
      </c>
      <c r="J3" s="4" t="s">
        <v>24</v>
      </c>
      <c r="K3" s="4" t="s">
        <v>20</v>
      </c>
      <c r="L3" s="4" t="s">
        <v>20</v>
      </c>
      <c r="M3" s="4" t="s">
        <v>21</v>
      </c>
      <c r="N3" s="5">
        <v>46094.0</v>
      </c>
      <c r="O3" s="4" t="s">
        <v>22</v>
      </c>
    </row>
    <row r="4">
      <c r="A4" s="7" t="s">
        <v>25</v>
      </c>
      <c r="B4" s="8" t="s">
        <v>26</v>
      </c>
      <c r="C4" s="8" t="s">
        <v>27</v>
      </c>
      <c r="D4" s="9">
        <v>255.0</v>
      </c>
      <c r="E4" s="8">
        <v>12255.0</v>
      </c>
      <c r="F4" s="10">
        <v>46104.0</v>
      </c>
      <c r="G4" s="11"/>
      <c r="H4" s="8" t="s">
        <v>28</v>
      </c>
      <c r="I4" s="8" t="s">
        <v>29</v>
      </c>
      <c r="J4" s="9" t="s">
        <v>30</v>
      </c>
      <c r="K4" s="8" t="s">
        <v>20</v>
      </c>
      <c r="L4" s="8" t="s">
        <v>20</v>
      </c>
      <c r="M4" s="8" t="s">
        <v>31</v>
      </c>
      <c r="N4" s="12">
        <v>46091.0</v>
      </c>
      <c r="O4" s="8" t="s">
        <v>32</v>
      </c>
    </row>
    <row r="5">
      <c r="A5" s="7" t="s">
        <v>25</v>
      </c>
      <c r="B5" s="13" t="s">
        <v>33</v>
      </c>
      <c r="C5" s="13" t="s">
        <v>34</v>
      </c>
      <c r="D5" s="14">
        <v>300.0</v>
      </c>
      <c r="E5" s="15" t="s">
        <v>35</v>
      </c>
      <c r="F5" s="16">
        <v>46101.0</v>
      </c>
      <c r="G5" s="17">
        <v>46093.0</v>
      </c>
      <c r="H5" s="13" t="s">
        <v>28</v>
      </c>
      <c r="I5" s="13" t="s">
        <v>18</v>
      </c>
      <c r="J5" s="18"/>
      <c r="K5" s="13" t="str">
        <f>IF($G5="","",IF(TODAY()&gt;$G5,"PAGO FINALIZADO",IF(TODAY()=$G5,"COBRAR HOJE","PENDIENTE")))
</f>
        <v>PAGO FINALIZADO</v>
      </c>
      <c r="L5" s="13" t="str">
        <f>IF($G5="","",IF(TODAY()&gt;$G5,"FINALIZADO",IF(TODAY()=$G5,"ENTREGAR HOJE","PENDIENTE")))
</f>
        <v>FINALIZADO</v>
      </c>
      <c r="M5" s="13" t="s">
        <v>31</v>
      </c>
      <c r="N5" s="19">
        <v>45960.0</v>
      </c>
      <c r="O5" s="13" t="s">
        <v>36</v>
      </c>
    </row>
    <row r="6">
      <c r="A6" s="7" t="s">
        <v>25</v>
      </c>
      <c r="B6" s="4" t="s">
        <v>37</v>
      </c>
      <c r="C6" s="4" t="s">
        <v>38</v>
      </c>
      <c r="D6" s="20">
        <v>300.0</v>
      </c>
      <c r="E6" s="21" t="s">
        <v>39</v>
      </c>
      <c r="F6" s="22">
        <v>46093.0</v>
      </c>
      <c r="G6" s="23"/>
      <c r="H6" s="4" t="s">
        <v>17</v>
      </c>
      <c r="I6" s="4" t="s">
        <v>29</v>
      </c>
      <c r="J6" s="4" t="s">
        <v>40</v>
      </c>
      <c r="K6" s="4" t="s">
        <v>20</v>
      </c>
      <c r="L6" s="4" t="s">
        <v>20</v>
      </c>
      <c r="M6" s="4" t="s">
        <v>21</v>
      </c>
      <c r="N6" s="5">
        <v>46086.0</v>
      </c>
      <c r="O6" s="24"/>
    </row>
    <row r="7">
      <c r="A7" s="3" t="s">
        <v>25</v>
      </c>
      <c r="B7" s="8" t="s">
        <v>41</v>
      </c>
      <c r="C7" s="8" t="s">
        <v>42</v>
      </c>
      <c r="D7" s="9">
        <v>500.0</v>
      </c>
      <c r="E7" s="8">
        <v>22500.0</v>
      </c>
      <c r="F7" s="10">
        <v>46095.0</v>
      </c>
      <c r="G7" s="10">
        <v>46112.0</v>
      </c>
      <c r="H7" s="8" t="s">
        <v>17</v>
      </c>
      <c r="I7" s="8" t="s">
        <v>29</v>
      </c>
      <c r="J7" s="9" t="s">
        <v>43</v>
      </c>
      <c r="K7" s="8" t="s">
        <v>20</v>
      </c>
      <c r="L7" s="8" t="s">
        <v>20</v>
      </c>
      <c r="M7" s="8" t="s">
        <v>21</v>
      </c>
      <c r="N7" s="12">
        <v>46085.0</v>
      </c>
      <c r="O7" s="8" t="s">
        <v>36</v>
      </c>
    </row>
    <row r="8">
      <c r="A8" s="3" t="s">
        <v>25</v>
      </c>
      <c r="B8" s="8" t="s">
        <v>41</v>
      </c>
      <c r="C8" s="8" t="s">
        <v>44</v>
      </c>
      <c r="D8" s="9">
        <v>500.0</v>
      </c>
      <c r="E8" s="8">
        <v>22500.0</v>
      </c>
      <c r="F8" s="10">
        <v>46095.0</v>
      </c>
      <c r="G8" s="10">
        <v>46112.0</v>
      </c>
      <c r="H8" s="8" t="s">
        <v>17</v>
      </c>
      <c r="I8" s="8" t="s">
        <v>29</v>
      </c>
      <c r="J8" s="9" t="s">
        <v>43</v>
      </c>
      <c r="K8" s="8" t="s">
        <v>20</v>
      </c>
      <c r="L8" s="8" t="s">
        <v>20</v>
      </c>
      <c r="M8" s="8" t="s">
        <v>21</v>
      </c>
      <c r="N8" s="12">
        <v>46086.0</v>
      </c>
      <c r="O8" s="8" t="s">
        <v>36</v>
      </c>
    </row>
    <row r="9">
      <c r="A9" s="3" t="s">
        <v>25</v>
      </c>
      <c r="B9" s="24" t="s">
        <v>45</v>
      </c>
      <c r="C9" s="24" t="s">
        <v>46</v>
      </c>
      <c r="D9" s="24">
        <v>300.0</v>
      </c>
      <c r="E9" s="4">
        <v>10355.0</v>
      </c>
      <c r="F9" s="25">
        <v>46083.0</v>
      </c>
      <c r="G9" s="26">
        <v>46087.0</v>
      </c>
      <c r="H9" s="24" t="s">
        <v>17</v>
      </c>
      <c r="I9" s="24" t="s">
        <v>29</v>
      </c>
      <c r="J9" s="24" t="s">
        <v>29</v>
      </c>
      <c r="K9" s="24" t="s">
        <v>20</v>
      </c>
      <c r="L9" s="24" t="s">
        <v>20</v>
      </c>
      <c r="M9" s="4" t="s">
        <v>47</v>
      </c>
      <c r="N9" s="27" t="s">
        <v>48</v>
      </c>
      <c r="O9" s="24" t="s">
        <v>36</v>
      </c>
    </row>
    <row r="10">
      <c r="A10" s="3" t="s">
        <v>25</v>
      </c>
      <c r="B10" s="4" t="s">
        <v>49</v>
      </c>
      <c r="C10" s="4" t="s">
        <v>50</v>
      </c>
      <c r="D10" s="4">
        <v>0.0</v>
      </c>
      <c r="E10" s="4">
        <v>23750.0</v>
      </c>
      <c r="F10" s="28">
        <v>46094.0</v>
      </c>
      <c r="G10" s="29">
        <v>46100.0</v>
      </c>
      <c r="H10" s="4" t="s">
        <v>51</v>
      </c>
      <c r="I10" s="4" t="s">
        <v>29</v>
      </c>
      <c r="J10" s="4" t="s">
        <v>52</v>
      </c>
      <c r="K10" s="4" t="s">
        <v>53</v>
      </c>
      <c r="L10" s="4" t="s">
        <v>53</v>
      </c>
      <c r="M10" s="4" t="s">
        <v>54</v>
      </c>
      <c r="N10" s="30">
        <v>46094.0</v>
      </c>
      <c r="O10" s="4" t="s">
        <v>36</v>
      </c>
    </row>
    <row r="11">
      <c r="A11" s="3" t="s">
        <v>25</v>
      </c>
      <c r="B11" s="4" t="s">
        <v>55</v>
      </c>
      <c r="C11" s="4" t="s">
        <v>56</v>
      </c>
      <c r="D11" s="20">
        <v>0.0</v>
      </c>
      <c r="E11" s="4">
        <v>7900.0</v>
      </c>
      <c r="F11" s="31">
        <v>46097.0</v>
      </c>
      <c r="G11" s="29">
        <v>46101.0</v>
      </c>
      <c r="H11" s="4" t="s">
        <v>51</v>
      </c>
      <c r="I11" s="4" t="s">
        <v>29</v>
      </c>
      <c r="J11" s="20" t="s">
        <v>52</v>
      </c>
      <c r="K11" s="4" t="s">
        <v>20</v>
      </c>
      <c r="L11" s="4" t="s">
        <v>20</v>
      </c>
      <c r="M11" s="32" t="s">
        <v>57</v>
      </c>
      <c r="N11" s="33">
        <v>46094.0</v>
      </c>
      <c r="O11" s="4" t="s">
        <v>36</v>
      </c>
    </row>
    <row r="12">
      <c r="A12" s="7" t="s">
        <v>25</v>
      </c>
      <c r="B12" s="4" t="s">
        <v>58</v>
      </c>
      <c r="C12" s="4" t="s">
        <v>59</v>
      </c>
      <c r="D12" s="24"/>
      <c r="E12" s="4">
        <v>10900.0</v>
      </c>
      <c r="F12" s="22">
        <v>46217.0</v>
      </c>
      <c r="G12" s="34">
        <v>46101.0</v>
      </c>
      <c r="H12" s="4" t="s">
        <v>17</v>
      </c>
      <c r="I12" s="4" t="s">
        <v>18</v>
      </c>
      <c r="J12" s="4" t="s">
        <v>60</v>
      </c>
      <c r="K12" s="4" t="s">
        <v>61</v>
      </c>
      <c r="L12" s="4" t="s">
        <v>20</v>
      </c>
      <c r="M12" s="4" t="s">
        <v>57</v>
      </c>
      <c r="N12" s="5">
        <v>46094.0</v>
      </c>
      <c r="O12" s="4" t="s">
        <v>36</v>
      </c>
    </row>
    <row r="13">
      <c r="A13" s="7" t="s">
        <v>25</v>
      </c>
      <c r="B13" s="4" t="s">
        <v>62</v>
      </c>
      <c r="C13" s="4" t="s">
        <v>63</v>
      </c>
      <c r="D13" s="27"/>
      <c r="E13" s="4">
        <v>12900.0</v>
      </c>
      <c r="F13" s="31">
        <v>46097.0</v>
      </c>
      <c r="G13" s="29">
        <v>46101.0</v>
      </c>
      <c r="H13" s="4" t="s">
        <v>17</v>
      </c>
      <c r="I13" s="4" t="s">
        <v>29</v>
      </c>
      <c r="J13" s="20" t="s">
        <v>29</v>
      </c>
      <c r="K13" s="35" t="s">
        <v>20</v>
      </c>
      <c r="L13" s="35" t="s">
        <v>20</v>
      </c>
      <c r="M13" s="4" t="s">
        <v>57</v>
      </c>
      <c r="N13" s="22">
        <v>46091.0</v>
      </c>
      <c r="O13" s="4" t="s">
        <v>36</v>
      </c>
    </row>
    <row r="14">
      <c r="A14" s="7" t="s">
        <v>25</v>
      </c>
      <c r="B14" s="4" t="s">
        <v>64</v>
      </c>
      <c r="C14" s="4" t="s">
        <v>65</v>
      </c>
      <c r="D14" s="20">
        <v>200.0</v>
      </c>
      <c r="E14" s="4">
        <v>12255.0</v>
      </c>
      <c r="F14" s="31">
        <v>46104.0</v>
      </c>
      <c r="G14" s="29">
        <v>46102.0</v>
      </c>
      <c r="H14" s="4" t="s">
        <v>17</v>
      </c>
      <c r="I14" s="4" t="s">
        <v>29</v>
      </c>
      <c r="J14" s="20">
        <v>10.0</v>
      </c>
      <c r="K14" s="35" t="s">
        <v>20</v>
      </c>
      <c r="L14" s="35" t="s">
        <v>20</v>
      </c>
      <c r="M14" s="4" t="s">
        <v>57</v>
      </c>
      <c r="N14" s="22">
        <v>46098.0</v>
      </c>
      <c r="O14" s="4" t="s">
        <v>66</v>
      </c>
    </row>
    <row r="15">
      <c r="A15" s="7" t="s">
        <v>25</v>
      </c>
      <c r="B15" s="36" t="s">
        <v>67</v>
      </c>
      <c r="C15" s="36" t="s">
        <v>68</v>
      </c>
      <c r="D15" s="36">
        <v>1000.0</v>
      </c>
      <c r="E15" s="37">
        <v>23750.0</v>
      </c>
      <c r="F15" s="38">
        <v>46101.0</v>
      </c>
      <c r="G15" s="39"/>
      <c r="H15" s="36" t="s">
        <v>69</v>
      </c>
      <c r="I15" s="36" t="s">
        <v>18</v>
      </c>
      <c r="J15" s="36" t="s">
        <v>52</v>
      </c>
      <c r="K15" s="36" t="s">
        <v>70</v>
      </c>
      <c r="L15" s="36" t="s">
        <v>70</v>
      </c>
      <c r="M15" s="36" t="s">
        <v>71</v>
      </c>
      <c r="N15" s="38">
        <v>46099.0</v>
      </c>
      <c r="O15" s="36" t="s">
        <v>72</v>
      </c>
    </row>
    <row r="16">
      <c r="A16" s="3" t="s">
        <v>73</v>
      </c>
      <c r="B16" s="40"/>
      <c r="C16" s="40"/>
      <c r="D16" s="40"/>
      <c r="E16" s="40"/>
      <c r="F16" s="41"/>
      <c r="G16" s="41"/>
      <c r="H16" s="40"/>
      <c r="I16" s="40"/>
      <c r="J16" s="40"/>
      <c r="K16" s="40"/>
      <c r="L16" s="40"/>
      <c r="M16" s="40"/>
      <c r="N16" s="41"/>
      <c r="O16" s="40"/>
    </row>
    <row r="17">
      <c r="A17" s="7" t="s">
        <v>74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</row>
    <row r="18">
      <c r="A18" s="3" t="s">
        <v>74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</row>
    <row r="19">
      <c r="A19" s="7" t="s">
        <v>74</v>
      </c>
      <c r="B19" s="39"/>
      <c r="C19" s="39"/>
      <c r="D19" s="39"/>
      <c r="E19" s="39"/>
      <c r="F19" s="43"/>
      <c r="G19" s="39"/>
      <c r="H19" s="39"/>
      <c r="I19" s="39"/>
      <c r="J19" s="39"/>
      <c r="K19" s="39"/>
      <c r="L19" s="39"/>
      <c r="M19" s="39"/>
      <c r="N19" s="39"/>
      <c r="O19" s="39"/>
    </row>
    <row r="20">
      <c r="A20" s="3" t="s">
        <v>75</v>
      </c>
      <c r="B20" s="40"/>
      <c r="C20" s="40"/>
      <c r="D20" s="40"/>
      <c r="E20" s="40"/>
      <c r="F20" s="44"/>
      <c r="G20" s="41"/>
      <c r="H20" s="40"/>
      <c r="I20" s="40"/>
      <c r="J20" s="40"/>
      <c r="K20" s="40"/>
      <c r="L20" s="40"/>
      <c r="M20" s="40"/>
      <c r="N20" s="45"/>
      <c r="O20" s="40"/>
    </row>
    <row r="21">
      <c r="A21" s="3" t="s">
        <v>76</v>
      </c>
      <c r="B21" s="13" t="s">
        <v>77</v>
      </c>
      <c r="C21" s="13" t="s">
        <v>78</v>
      </c>
      <c r="D21" s="14">
        <v>100.0</v>
      </c>
      <c r="E21" s="13" t="s">
        <v>79</v>
      </c>
      <c r="F21" s="13" t="s">
        <v>80</v>
      </c>
      <c r="G21" s="13" t="s">
        <v>80</v>
      </c>
      <c r="H21" s="13" t="s">
        <v>17</v>
      </c>
      <c r="I21" s="13" t="s">
        <v>29</v>
      </c>
      <c r="J21" s="18"/>
      <c r="K21" s="18"/>
      <c r="L21" s="18"/>
      <c r="M21" s="13" t="s">
        <v>81</v>
      </c>
      <c r="N21" s="18"/>
      <c r="O21" s="13" t="s">
        <v>36</v>
      </c>
    </row>
    <row r="22">
      <c r="A22" s="7" t="s">
        <v>82</v>
      </c>
      <c r="B22" s="35" t="s">
        <v>83</v>
      </c>
      <c r="C22" s="35" t="s">
        <v>84</v>
      </c>
      <c r="D22" s="35">
        <v>50.0</v>
      </c>
      <c r="E22" s="35">
        <v>12900.0</v>
      </c>
      <c r="F22" s="46">
        <v>46097.0</v>
      </c>
      <c r="G22" s="47">
        <v>46101.0</v>
      </c>
      <c r="H22" s="35" t="s">
        <v>17</v>
      </c>
      <c r="I22" s="35" t="s">
        <v>29</v>
      </c>
      <c r="J22" s="35">
        <v>10.0</v>
      </c>
      <c r="K22" s="35" t="s">
        <v>20</v>
      </c>
      <c r="L22" s="35" t="s">
        <v>20</v>
      </c>
      <c r="M22" s="35" t="s">
        <v>57</v>
      </c>
      <c r="N22" s="48">
        <v>46095.0</v>
      </c>
      <c r="O22" s="35" t="s">
        <v>36</v>
      </c>
    </row>
    <row r="23">
      <c r="A23" s="3" t="s">
        <v>76</v>
      </c>
      <c r="B23" s="49"/>
      <c r="C23" s="50" t="s">
        <v>85</v>
      </c>
      <c r="D23" s="49"/>
      <c r="E23" s="50">
        <v>10900.0</v>
      </c>
      <c r="F23" s="51">
        <v>46097.0</v>
      </c>
      <c r="G23" s="52">
        <v>46101.0</v>
      </c>
      <c r="H23" s="50" t="s">
        <v>17</v>
      </c>
      <c r="I23" s="50" t="s">
        <v>29</v>
      </c>
      <c r="J23" s="49"/>
      <c r="K23" s="50" t="s">
        <v>20</v>
      </c>
      <c r="L23" s="50" t="s">
        <v>20</v>
      </c>
      <c r="M23" s="50" t="s">
        <v>57</v>
      </c>
      <c r="N23" s="53">
        <v>46095.0</v>
      </c>
      <c r="O23" s="50" t="s">
        <v>36</v>
      </c>
    </row>
    <row r="24">
      <c r="A24" s="7" t="s">
        <v>76</v>
      </c>
      <c r="B24" s="35" t="s">
        <v>86</v>
      </c>
      <c r="C24" s="35" t="s">
        <v>87</v>
      </c>
      <c r="D24" s="40"/>
      <c r="E24" s="35">
        <v>10900.0</v>
      </c>
      <c r="F24" s="35">
        <v>0.0</v>
      </c>
      <c r="G24" s="35">
        <v>0.0</v>
      </c>
      <c r="H24" s="35">
        <v>0.0</v>
      </c>
      <c r="I24" s="35">
        <v>0.0</v>
      </c>
      <c r="J24" s="40"/>
      <c r="K24" s="35" t="s">
        <v>61</v>
      </c>
      <c r="L24" s="35" t="s">
        <v>88</v>
      </c>
      <c r="M24" s="35" t="s">
        <v>57</v>
      </c>
      <c r="N24" s="35">
        <v>0.0</v>
      </c>
      <c r="O24" s="35" t="s">
        <v>36</v>
      </c>
    </row>
    <row r="25">
      <c r="A25" s="7"/>
      <c r="B25" s="39"/>
      <c r="C25" s="39"/>
      <c r="D25" s="39"/>
      <c r="E25" s="39"/>
      <c r="F25" s="54"/>
      <c r="G25" s="39"/>
      <c r="H25" s="39"/>
      <c r="I25" s="39"/>
      <c r="J25" s="39"/>
      <c r="K25" s="39"/>
      <c r="L25" s="39"/>
      <c r="M25" s="39"/>
      <c r="N25" s="39"/>
      <c r="O25" s="39"/>
    </row>
    <row r="26">
      <c r="A26" s="3"/>
      <c r="B26" s="42"/>
      <c r="C26" s="42"/>
      <c r="D26" s="42"/>
      <c r="E26" s="42"/>
      <c r="F26" s="55"/>
      <c r="G26" s="42"/>
      <c r="H26" s="42"/>
      <c r="I26" s="42"/>
      <c r="J26" s="42"/>
      <c r="K26" s="42"/>
      <c r="L26" s="42"/>
      <c r="M26" s="42"/>
      <c r="N26" s="42"/>
      <c r="O26" s="42"/>
    </row>
    <row r="27">
      <c r="A27" s="7"/>
      <c r="B27" s="39"/>
      <c r="C27" s="39"/>
      <c r="D27" s="39"/>
      <c r="E27" s="39"/>
      <c r="F27" s="54"/>
      <c r="G27" s="39"/>
      <c r="H27" s="39"/>
      <c r="I27" s="39"/>
      <c r="J27" s="39"/>
      <c r="K27" s="40" t="str">
        <f>IF($G27="","",IF(TODAY()&gt;$G27,"PAGO FINALIZADO",IF(TODAY()=$G27,"COBRAR HOJE","PENDIENTE")))
</f>
        <v/>
      </c>
      <c r="L27" s="40" t="str">
        <f>IF($G27="","",IF(TODAY()&gt;$G27,"FINALIZADO",IF(TODAY()=$G27,"ENTREGAR HOJE","PENDIENTE")))
</f>
        <v/>
      </c>
      <c r="M27" s="39"/>
      <c r="N27" s="39"/>
      <c r="O27" s="39"/>
    </row>
    <row r="28">
      <c r="A28" s="3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</row>
    <row r="29">
      <c r="A29" s="7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</row>
    <row r="30">
      <c r="A30" s="3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40" t="str">
        <f>IF($G30="","",IF(TODAY()&gt;$G30,"ATRASADO",IF(TODAY()=$G30,"ENTREGAR HOJE","PENDIENTE")))
</f>
        <v/>
      </c>
      <c r="M30" s="56"/>
      <c r="N30" s="56"/>
      <c r="O30" s="56"/>
    </row>
    <row r="35">
      <c r="E35" s="3"/>
    </row>
    <row r="36">
      <c r="B36" s="57" t="s">
        <v>89</v>
      </c>
      <c r="E36" s="7"/>
      <c r="G36" s="58"/>
      <c r="H36" s="58"/>
      <c r="I36" s="58"/>
    </row>
    <row r="37">
      <c r="E37" s="3">
        <f>SUM(E2:E36)</f>
        <v>226665</v>
      </c>
      <c r="G37" s="58"/>
      <c r="H37" s="58" t="s">
        <v>90</v>
      </c>
      <c r="I37" s="59"/>
    </row>
    <row r="38">
      <c r="E38" s="7"/>
      <c r="G38" s="58"/>
      <c r="H38" s="58" t="s">
        <v>91</v>
      </c>
      <c r="I38" s="60"/>
    </row>
    <row r="39" ht="15.75" customHeight="1">
      <c r="E39" s="3"/>
      <c r="G39" s="58"/>
      <c r="H39" s="58" t="s">
        <v>92</v>
      </c>
      <c r="I39" s="18"/>
    </row>
    <row r="40" ht="15.75" customHeight="1">
      <c r="E40" s="7"/>
      <c r="G40" s="58"/>
      <c r="H40" s="58"/>
      <c r="I40" s="58"/>
    </row>
    <row r="41" ht="15.75" customHeight="1">
      <c r="E41" s="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autoFilter ref="$A$1:$S$1018">
    <sortState ref="A1:S1018">
      <sortCondition ref="A1:A1018"/>
      <sortCondition ref="G1:G1018"/>
      <sortCondition ref="F1:F1018"/>
    </sortState>
  </autoFilter>
  <customSheetViews>
    <customSheetView guid="{BB8AF3B0-536D-4F42-931F-70A1BB6BB96E}" filter="1" showAutoFilter="1">
      <autoFilter ref="$F$1:$F$1018"/>
      <extLst>
        <ext uri="GoogleSheetsCustomDataVersion1">
          <go:sheetsCustomData xmlns:go="http://customooxmlschemas.google.com/" filterViewId="1076046082"/>
        </ext>
      </extLst>
    </customSheetView>
  </customSheetView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30.14"/>
    <col customWidth="1" min="4" max="4" width="24.71"/>
    <col customWidth="1" min="5" max="6" width="22.0"/>
    <col customWidth="1" min="7" max="7" width="15.43"/>
    <col customWidth="1" min="8" max="8" width="14.71"/>
    <col customWidth="1" min="9" max="26" width="9.14"/>
  </cols>
  <sheetData>
    <row r="1">
      <c r="A1" s="61" t="s">
        <v>93</v>
      </c>
      <c r="B1" s="61" t="s">
        <v>94</v>
      </c>
      <c r="C1" s="61" t="s">
        <v>95</v>
      </c>
      <c r="D1" s="61" t="s">
        <v>96</v>
      </c>
      <c r="E1" s="61" t="s">
        <v>97</v>
      </c>
      <c r="F1" s="61" t="s">
        <v>98</v>
      </c>
      <c r="G1" s="62" t="s">
        <v>99</v>
      </c>
      <c r="H1" s="62" t="s">
        <v>100</v>
      </c>
    </row>
    <row r="2">
      <c r="A2" s="63" t="s">
        <v>25</v>
      </c>
      <c r="B2" s="63">
        <f>SUMIF(Ventas!$A:$A,A2,Ventas!$E:$E)</f>
        <v>159065</v>
      </c>
      <c r="C2" s="63">
        <v>0.0</v>
      </c>
      <c r="D2" s="63">
        <f t="shared" ref="D2:D9" si="1">B2*C2</f>
        <v>0</v>
      </c>
      <c r="E2" s="63">
        <v>0.07</v>
      </c>
      <c r="F2" s="63">
        <f t="shared" ref="F2:F9" si="2">B2*E2</f>
        <v>11134.55</v>
      </c>
      <c r="G2" s="64" t="s">
        <v>101</v>
      </c>
      <c r="H2" s="64" t="s">
        <v>101</v>
      </c>
    </row>
    <row r="3">
      <c r="A3" s="63" t="s">
        <v>102</v>
      </c>
      <c r="B3" s="63">
        <f>SUMIF(Ventas!$A:$A,A3,Ventas!$E:$E)</f>
        <v>0</v>
      </c>
      <c r="C3" s="63">
        <v>0.03</v>
      </c>
      <c r="D3" s="63">
        <f t="shared" si="1"/>
        <v>0</v>
      </c>
      <c r="E3" s="63">
        <v>0.0</v>
      </c>
      <c r="F3" s="63">
        <f t="shared" si="2"/>
        <v>0</v>
      </c>
      <c r="G3" s="65">
        <v>0.06</v>
      </c>
      <c r="H3" s="66">
        <f t="shared" ref="H3:H9" si="3">D3*(1-G3)</f>
        <v>0</v>
      </c>
    </row>
    <row r="4">
      <c r="A4" s="63" t="s">
        <v>103</v>
      </c>
      <c r="B4" s="63">
        <f>SUMIF(Ventas!$A:$A,A4,Ventas!$E:$E)</f>
        <v>0</v>
      </c>
      <c r="C4" s="63">
        <v>0.03</v>
      </c>
      <c r="D4" s="63">
        <f t="shared" si="1"/>
        <v>0</v>
      </c>
      <c r="E4" s="63">
        <v>0.0</v>
      </c>
      <c r="F4" s="63">
        <f t="shared" si="2"/>
        <v>0</v>
      </c>
      <c r="G4" s="67">
        <v>0.06</v>
      </c>
      <c r="H4" s="68">
        <f t="shared" si="3"/>
        <v>0</v>
      </c>
    </row>
    <row r="5">
      <c r="A5" s="63" t="s">
        <v>73</v>
      </c>
      <c r="B5" s="63">
        <f>SUMIF(Ventas!$A:$A,A5,Ventas!$E:$E)</f>
        <v>0</v>
      </c>
      <c r="C5" s="63">
        <v>0.35</v>
      </c>
      <c r="D5" s="63">
        <f t="shared" si="1"/>
        <v>0</v>
      </c>
      <c r="E5" s="63">
        <v>0.0</v>
      </c>
      <c r="F5" s="63">
        <f t="shared" si="2"/>
        <v>0</v>
      </c>
      <c r="G5" s="65">
        <v>0.06</v>
      </c>
      <c r="H5" s="66">
        <f t="shared" si="3"/>
        <v>0</v>
      </c>
    </row>
    <row r="6">
      <c r="A6" s="63" t="s">
        <v>74</v>
      </c>
      <c r="B6" s="63">
        <f>SUMIF(Ventas!$A:$A,A6,Ventas!$E:$E)</f>
        <v>0</v>
      </c>
      <c r="C6" s="63">
        <v>0.023</v>
      </c>
      <c r="D6" s="63">
        <f t="shared" si="1"/>
        <v>0</v>
      </c>
      <c r="E6" s="63">
        <v>0.0</v>
      </c>
      <c r="F6" s="63">
        <f t="shared" si="2"/>
        <v>0</v>
      </c>
      <c r="G6" s="67">
        <v>0.06</v>
      </c>
      <c r="H6" s="68">
        <f t="shared" si="3"/>
        <v>0</v>
      </c>
    </row>
    <row r="7">
      <c r="A7" s="63" t="s">
        <v>75</v>
      </c>
      <c r="B7" s="63">
        <f>SUMIF(Ventas!$A:$A,A7,Ventas!$E:$E)</f>
        <v>0</v>
      </c>
      <c r="C7" s="63">
        <v>0.03</v>
      </c>
      <c r="D7" s="63">
        <f t="shared" si="1"/>
        <v>0</v>
      </c>
      <c r="E7" s="63">
        <v>0.0</v>
      </c>
      <c r="F7" s="63">
        <f t="shared" si="2"/>
        <v>0</v>
      </c>
      <c r="G7" s="65">
        <v>0.06</v>
      </c>
      <c r="H7" s="66">
        <f t="shared" si="3"/>
        <v>0</v>
      </c>
    </row>
    <row r="8">
      <c r="A8" s="63" t="s">
        <v>14</v>
      </c>
      <c r="B8" s="63">
        <f>SUMIF(Ventas!$A:$A,A8,Ventas!$E:$E)</f>
        <v>32900</v>
      </c>
      <c r="C8" s="63">
        <v>0.03</v>
      </c>
      <c r="D8" s="63">
        <f t="shared" si="1"/>
        <v>987</v>
      </c>
      <c r="E8" s="63">
        <v>0.0</v>
      </c>
      <c r="F8" s="63">
        <f t="shared" si="2"/>
        <v>0</v>
      </c>
      <c r="G8" s="69">
        <v>0.06</v>
      </c>
      <c r="H8" s="66">
        <f t="shared" si="3"/>
        <v>927.78</v>
      </c>
    </row>
    <row r="9">
      <c r="A9" s="63" t="s">
        <v>76</v>
      </c>
      <c r="B9" s="63">
        <f>SUMIF(Ventas!$A:$A,A9,Ventas!$E:$E)</f>
        <v>34700</v>
      </c>
      <c r="C9" s="63">
        <v>0.03</v>
      </c>
      <c r="D9" s="63">
        <f t="shared" si="1"/>
        <v>1041</v>
      </c>
      <c r="E9" s="63">
        <v>0.0</v>
      </c>
      <c r="F9" s="63">
        <f t="shared" si="2"/>
        <v>0</v>
      </c>
      <c r="G9" s="69">
        <v>0.06</v>
      </c>
      <c r="H9" s="66">
        <f t="shared" si="3"/>
        <v>978.54</v>
      </c>
    </row>
    <row r="10">
      <c r="A10" s="63" t="s">
        <v>104</v>
      </c>
      <c r="B10" s="63"/>
      <c r="C10" s="63"/>
      <c r="D10" s="63"/>
      <c r="E10" s="63"/>
      <c r="F10" s="63">
        <f>SUM(F2:F9)</f>
        <v>11134.55</v>
      </c>
      <c r="G10" s="69" t="s">
        <v>105</v>
      </c>
      <c r="H10" s="63">
        <f>F2*(1-G10)</f>
        <v>10466.477</v>
      </c>
    </row>
    <row r="13">
      <c r="H13" s="57" t="s">
        <v>101</v>
      </c>
    </row>
    <row r="19">
      <c r="B19" s="70" t="s">
        <v>106</v>
      </c>
    </row>
    <row r="20">
      <c r="B20" s="71">
        <f>SUM(B2:B19)</f>
        <v>226665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6" width="9.14"/>
  </cols>
  <sheetData>
    <row r="1">
      <c r="A1" s="72" t="s">
        <v>107</v>
      </c>
    </row>
    <row r="3">
      <c r="A3" s="57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2025-08-08T16:58:28Z</dcterms:created>
  <dc:creator>openpyxl</dc:creator>
</cp:coreProperties>
</file>